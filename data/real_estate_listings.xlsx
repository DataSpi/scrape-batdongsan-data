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2">
    <numFmt numFmtId="164" formatCode="yyyy-mm-dd h:mm:ss"/>
    <numFmt numFmtId="165" formatCode="YYYY-MM-DD HH:MM:SS"/>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22"/>
  <sheetViews>
    <sheetView workbookViewId="0">
      <selection activeCell="A1" sqref="A1"/>
    </sheetView>
  </sheetViews>
  <sheetFormatPr baseColWidth="8" defaultRowHeight="15"/>
  <sheetData>
    <row r="1">
      <c r="A1" t="inlineStr">
        <is>
          <t>title</t>
        </is>
      </c>
      <c r="B1" t="inlineStr">
        <is>
          <t>link</t>
        </is>
      </c>
      <c r="C1" t="inlineStr">
        <is>
          <t>price_per_m2</t>
        </is>
      </c>
      <c r="D1" t="inlineStr">
        <is>
          <t>bedrooms</t>
        </is>
      </c>
      <c r="E1" t="inlineStr">
        <is>
          <t>toilets</t>
        </is>
      </c>
      <c r="F1" t="inlineStr">
        <is>
          <t>location</t>
        </is>
      </c>
      <c r="G1" t="inlineStr">
        <is>
          <t>description</t>
        </is>
      </c>
      <c r="H1" t="inlineStr">
        <is>
          <t>agent_name</t>
        </is>
      </c>
      <c r="I1" t="inlineStr">
        <is>
          <t>phone</t>
        </is>
      </c>
      <c r="J1" t="inlineStr">
        <is>
          <t>images</t>
        </is>
      </c>
      <c r="K1" t="inlineStr">
        <is>
          <t>price_num</t>
        </is>
      </c>
      <c r="L1" t="inlineStr">
        <is>
          <t>area_num</t>
        </is>
      </c>
      <c r="M1" t="inlineStr">
        <is>
          <t>price_per_m2_recal</t>
        </is>
      </c>
      <c r="N1" t="inlineStr">
        <is>
          <t>image_1</t>
        </is>
      </c>
      <c r="O1" t="inlineStr">
        <is>
          <t>image_2</t>
        </is>
      </c>
      <c r="P1" t="inlineStr">
        <is>
          <t>image_3</t>
        </is>
      </c>
      <c r="Q1" t="inlineStr">
        <is>
          <t>image_4</t>
        </is>
      </c>
      <c r="R1" t="inlineStr">
        <is>
          <t>image_5</t>
        </is>
      </c>
      <c r="S1" t="inlineStr">
        <is>
          <t>date_scraped</t>
        </is>
      </c>
      <c r="T1" t="inlineStr">
        <is>
          <t>unique_id</t>
        </is>
      </c>
    </row>
    <row r="2">
      <c r="A2" t="inlineStr">
        <is>
          <t>3,7tỷ đẹp như mới 2 tầng. DT 33,1m ngang 6,6*5,01 Trần xuân Soạn,Q7.Hẻm trc nhà 6m.Sân để 10 xe máy</t>
        </is>
      </c>
      <c r="B2" t="inlineStr">
        <is>
          <t>https://batdongsan.com.vn/ban-nha-rieng-pho-tran-xuan-soan-phuong-tan-hung-14/3-7-ty-dep-nhu-moi-2-tang-dt-33-1m-ngang-6-6-5-01-q7-hem-trc-6m-san-de-10-xe-may-pr45113013</t>
        </is>
      </c>
      <c r="C2" t="inlineStr">
        <is>
          <t>111,78 tr/m²</t>
        </is>
      </c>
      <c r="D2" t="inlineStr">
        <is>
          <t>2</t>
        </is>
      </c>
      <c r="E2" t="inlineStr">
        <is>
          <t>2</t>
        </is>
      </c>
      <c r="F2" t="inlineStr">
        <is>
          <t>Quận 7, Hồ Chí Minh</t>
        </is>
      </c>
      <c r="G2" t="inlineStr">
        <is>
          <t>Bán nhà phố 2 tầng đẹp như mới, vị trí cực kỳ tiềm năng tại Trần Xuân Soạn Quận 7, ngay gần Cầu Rạch Ông, thuận tiện di chuyển sang Quận 4 Quận 1.+ Diện tích: 6,6m x 5.1m = 33,1m (sân trước rộng 6m để được nhiều xe máy) cn 29.5m².+ Kết cấu: 2 tầng gồm phòng khách, bếp, 2 phòng ngủ, 2 WC nhà hoàn thiện chỉ cần dọn vào là đón Tết ngay.+ Kết nối giao thông thuận tiện:2 phút di chuyển sang Quận 4 qua Cầu Rạch Ông.5 phút vào trung tâm Quận 1.Gần Nguyễ...</t>
        </is>
      </c>
      <c r="H2" t="inlineStr">
        <is>
          <t>‎Trang Dao</t>
        </is>
      </c>
      <c r="I2" t="inlineStr">
        <is>
          <t>0386 861 *** · Hiện số</t>
        </is>
      </c>
      <c r="J2" t="inlineStr">
        <is>
          <t>['https://file4.batdongsan.com.vn/crop/348x174/2026/01/29/20260129031610-d109_wm.jpg', 'https://file4.batdongsan.com.vn/crop/115x86/2026/01/29/20260129031611-7c82_wm.jpg', 'https://file4.batdongsan.com.vn/crop/115x86/2026/01/29/20260129031613-a2b6_wm.jpg', 'https://file4.batdongsan.com.vn/crop/115x86/2026/01/29/20260129031614-aa06_wm.jpg']</t>
        </is>
      </c>
      <c r="K2" t="n">
        <v>3700</v>
      </c>
      <c r="L2" t="n">
        <v>33.1</v>
      </c>
      <c r="M2" t="n">
        <v>111.7824773413897</v>
      </c>
      <c r="N2">
        <f>IMAGE("https://file4.batdongsan.com.vn/crop/348x174/2026/01/29/20260129031610-d109_wm.jpg", 4, 200, 200)</f>
        <v/>
      </c>
      <c r="O2">
        <f>IMAGE("https://file4.batdongsan.com.vn/crop/115x86/2026/01/29/20260129031611-7c82_wm.jpg", 4, 200, 200)</f>
        <v/>
      </c>
      <c r="P2">
        <f>IMAGE("https://file4.batdongsan.com.vn/crop/115x86/2026/01/29/20260129031613-a2b6_wm.jpg", 4, 200, 200)</f>
        <v/>
      </c>
      <c r="Q2">
        <f>IMAGE("https://file4.batdongsan.com.vn/crop/115x86/2026/01/29/20260129031614-aa06_wm.jpg", 4, 200, 200)</f>
        <v/>
      </c>
      <c r="R2">
        <f>IMAGE("nan", 4, 200, 200)</f>
        <v/>
      </c>
      <c r="S2" s="1" t="n">
        <v>46051</v>
      </c>
      <c r="T2" t="inlineStr">
        <is>
          <t>pr45113013</t>
        </is>
      </c>
    </row>
    <row r="3">
      <c r="A3" t="inlineStr">
        <is>
          <t>Quá hiếm diện tích 100m2 - 2 tầng ngay gần Dương Thị Giang P. Tân Thới Nhất quận 12 khu 38ha</t>
        </is>
      </c>
      <c r="B3" t="inlineStr">
        <is>
          <t>https://batdongsan.com.vn/ban-nha-rieng-duong-phan-van-hon-phuong-tan-thoi-nhat-1/qua-hiem-dien-tich-100m2-2-g-ngay-gan-thi-giang-p-quan-12-khu-38ha-pr44921403</t>
        </is>
      </c>
      <c r="C3" t="inlineStr">
        <is>
          <t>71,5 tr/m²</t>
        </is>
      </c>
      <c r="D3" t="inlineStr">
        <is>
          <t>4</t>
        </is>
      </c>
      <c r="E3" t="inlineStr">
        <is>
          <t>3</t>
        </is>
      </c>
      <c r="F3" t="inlineStr">
        <is>
          <t>Quận 12, Hồ Chí Minh</t>
        </is>
      </c>
      <c r="G3" t="inlineStr">
        <is>
          <t>Quá hiếm diện tích 100m² - 2 tầng ngay gần Dương Thị Giang P. Tân Thới Nhất quận 12 khu 38ha. - Đừng bỏ lỡ căn nhà đẹp diện tích lớn hiếm có 5.4x19m, 2 tầng hẻm xe hơi vào nhà, chủ tặng full nội thất... Rẻ nhất khu vực rồi khách ơi.Tiện ích khu vực xung quanh bạn phải mê mẫn: - Bệnh viện Đa Khoa Tâm Trí Sài Gòn và Trạm Y Tế p Tân Thới Nhất gần đó. - Đặc biệt Công viên Thận Kiều siêu đẹp siêu rộng tối tối chạy bộ hít thở khí trời, Công Viên Tham L...</t>
        </is>
      </c>
      <c r="H3" t="inlineStr">
        <is>
          <t>‎Lê Hào</t>
        </is>
      </c>
      <c r="I3" t="inlineStr">
        <is>
          <t>0949 799 *** · Hiện số</t>
        </is>
      </c>
      <c r="J3" t="inlineStr">
        <is>
          <t>['https://file4.batdongsan.com.vn/crop/348x174/2025/12/29/20251229215407-ae6e_wm.jpg', 'https://file4.batdongsan.com.vn/crop/115x86/2025/12/29/20251229215407-e711_wm.jpg', 'https://file4.batdongsan.com.vn/crop/115x86/2025/12/29/20251229215407-1980_wm.jpg', 'https://file4.batdongsan.com.vn/crop/115x86/2025/12/29/20251229215407-6b51_wm.jpg', 'https://file4.batdongsan.com.vn/resize/200x200/2025/12/27/20251227211151-3470.jpg']</t>
        </is>
      </c>
      <c r="K3" t="n">
        <v>7150</v>
      </c>
      <c r="L3" t="n">
        <v>100</v>
      </c>
      <c r="M3" t="n">
        <v>71.5</v>
      </c>
      <c r="N3">
        <f>IMAGE("https://file4.batdongsan.com.vn/crop/348x174/2025/12/29/20251229215407-ae6e_wm.jpg", 4, 200, 200)</f>
        <v/>
      </c>
      <c r="O3">
        <f>IMAGE("https://file4.batdongsan.com.vn/crop/115x86/2025/12/29/20251229215407-e711_wm.jpg", 4, 200, 200)</f>
        <v/>
      </c>
      <c r="P3">
        <f>IMAGE("https://file4.batdongsan.com.vn/crop/115x86/2025/12/29/20251229215407-1980_wm.jpg", 4, 200, 200)</f>
        <v/>
      </c>
      <c r="Q3">
        <f>IMAGE("https://file4.batdongsan.com.vn/crop/115x86/2025/12/29/20251229215407-6b51_wm.jpg", 4, 200, 200)</f>
        <v/>
      </c>
      <c r="R3">
        <f>IMAGE("https://file4.batdongsan.com.vn/resize/200x200/2025/12/27/20251227211151-3470.jpg", 4, 200, 200)</f>
        <v/>
      </c>
      <c r="S3" s="1" t="n">
        <v>46051</v>
      </c>
      <c r="T3" t="inlineStr">
        <is>
          <t>pr44921403</t>
        </is>
      </c>
    </row>
    <row r="4">
      <c r="A4" t="inlineStr">
        <is>
          <t>Nhà cấp 4 gác lửng, hẻm xe hơi - Phan Văn Hớn, Quận 12 sổ hồng 45m2 - Giá 3.9 tỷ</t>
        </is>
      </c>
      <c r="B4" t="inlineStr">
        <is>
          <t>https://batdongsan.com.vn/ban-nha-rieng-duong-phan-van-hon-phuong-tan-thoi-nhat-1/ban-chinh-chu-hem-xe-hoi-quan-12-4x11m-3-ty-900-pr45098440</t>
        </is>
      </c>
      <c r="C4" t="inlineStr">
        <is>
          <t>86,67 tr/m²</t>
        </is>
      </c>
      <c r="D4" t="inlineStr">
        <is>
          <t>2</t>
        </is>
      </c>
      <c r="E4" t="inlineStr">
        <is>
          <t>1</t>
        </is>
      </c>
      <c r="F4" t="inlineStr">
        <is>
          <t>Quận 12, Hồ Chí Minh</t>
        </is>
      </c>
      <c r="G4" t="inlineStr">
        <is>
          <t>Nhà cấp 4 đúc lửng - Sổ hồng riêng - Hẻm Xe Hơi - Đường Phan Văn Hớn, Quận 12. - Gần nhà hàng Royal Place, khu công viên Dương Thị Giang. Diện tích: 4m x 11m. Nở hậu: 4,5m. Sổ hồng công nhận: 45m². Giá bán: 3 tỷ 900 khu dân trí, an ninh, hàng xóm thân thiện. Liên hệ công việc: Mr. Bon.</t>
        </is>
      </c>
      <c r="H4" t="inlineStr">
        <is>
          <t>‎Sàn Bất Động Sản Hellohomes.vn</t>
        </is>
      </c>
      <c r="I4" t="inlineStr">
        <is>
          <t>0779 938 *** · Hiện số</t>
        </is>
      </c>
      <c r="J4" t="inlineStr">
        <is>
          <t>['https://file4.batdongsan.com.vn/resize/200x200/2022/12/01/20221201112248-9951.jpg']</t>
        </is>
      </c>
      <c r="K4" t="n">
        <v>3900</v>
      </c>
      <c r="L4" t="n">
        <v>45</v>
      </c>
      <c r="M4" t="n">
        <v>86.66666666666667</v>
      </c>
      <c r="N4">
        <f>IMAGE("https://file4.batdongsan.com.vn/resize/200x200/2022/12/01/20221201112248-9951.jpg", 4, 200, 200)</f>
        <v/>
      </c>
      <c r="O4">
        <f>IMAGE("nan", 4, 200, 200)</f>
        <v/>
      </c>
      <c r="P4">
        <f>IMAGE("nan", 4, 200, 200)</f>
        <v/>
      </c>
      <c r="Q4">
        <f>IMAGE("nan", 4, 200, 200)</f>
        <v/>
      </c>
      <c r="R4">
        <f>IMAGE("nan", 4, 200, 200)</f>
        <v/>
      </c>
      <c r="S4" s="1" t="n">
        <v>46051</v>
      </c>
      <c r="T4" t="inlineStr">
        <is>
          <t>pr45098440</t>
        </is>
      </c>
    </row>
    <row r="5">
      <c r="A5" t="inlineStr">
        <is>
          <t>Nhà mặt tiền Hòa Bình kế bên trường tiểu học Hòa Bình, tiện ở &amp; kinh doanh</t>
        </is>
      </c>
      <c r="B5" t="inlineStr">
        <is>
          <t>https://batdongsan.com.vn/ban-nha-mat-pho-duong-hoa-binh-1-phuong-5-13/-tien-ke-ben-truong-tieu-hoc-tien-o-kinh-doanh-pr44499212</t>
        </is>
      </c>
      <c r="C5" t="inlineStr">
        <is>
          <t>224,78 tr/m²</t>
        </is>
      </c>
      <c r="D5" t="inlineStr"/>
      <c r="E5" t="inlineStr"/>
      <c r="F5" t="inlineStr">
        <is>
          <t>Quận 11, Hồ Chí Minh</t>
        </is>
      </c>
      <c r="G5" t="inlineStr">
        <is>
          <t>Một căn nhà mang vị trí vàng ngay trung tâm Quận 11, tọa lạc trên mặt tiền đường Hòa Bình tuyến đường sầm uất bậc nhất khu vực, đối diện công viên Đầm Sen và kề bên Trường Tiểu học Hòa Bình, mang đến giá trị vừa để ở, vừa kinh doanh sinh lời lâu dài.Thông tin chi tiết:- Diện tích: 3.65 x 18.7m (69,4m²). - Diện tích sàn: 119,7m². - Kết cấu: 1 trệt, 1 lầu, bê tông cốt thép kiên cố. - Pháp lý: Sổ hồng riêng.Ưu điểm nổi bật: - Mặt tiền đường lớn, vị ...</t>
        </is>
      </c>
      <c r="H5" t="inlineStr">
        <is>
          <t>‎Lâm Trần</t>
        </is>
      </c>
      <c r="I5" t="inlineStr">
        <is>
          <t>0932 093 *** · Hiện số</t>
        </is>
      </c>
      <c r="J5" t="inlineStr">
        <is>
          <t>[]</t>
        </is>
      </c>
      <c r="K5" t="n">
        <v>15600</v>
      </c>
      <c r="L5" t="n">
        <v>69.40000000000001</v>
      </c>
      <c r="M5" t="n">
        <v>224.7838616714697</v>
      </c>
      <c r="N5">
        <f>IMAGE("nan", 4, 200, 200)</f>
        <v/>
      </c>
      <c r="O5">
        <f>IMAGE("nan", 4, 200, 200)</f>
        <v/>
      </c>
      <c r="P5">
        <f>IMAGE("nan", 4, 200, 200)</f>
        <v/>
      </c>
      <c r="Q5">
        <f>IMAGE("nan", 4, 200, 200)</f>
        <v/>
      </c>
      <c r="R5">
        <f>IMAGE("nan", 4, 200, 200)</f>
        <v/>
      </c>
      <c r="S5" s="1" t="n">
        <v>46051</v>
      </c>
      <c r="T5" t="inlineStr">
        <is>
          <t>pr44499212</t>
        </is>
      </c>
    </row>
    <row r="6">
      <c r="A6" t="inlineStr">
        <is>
          <t>Bán nhà mặt tiền Tỉnh Lộ 8 - Bình Mỹ, Củ Chi kinh doanh đắc địa, pháp lý chuẩn</t>
        </is>
      </c>
      <c r="B6" t="inlineStr">
        <is>
          <t>https://batdongsan.com.vn/ban-nha-mat-pho-duong-tinh-lo-8-xa-binh-my/ban-tien-8-cu-chi-kinh-doanh-dac-dia-phap-ly-chuan-pr44887110</t>
        </is>
      </c>
      <c r="C6" t="inlineStr">
        <is>
          <t>68,88 tr/m²</t>
        </is>
      </c>
      <c r="D6" t="inlineStr">
        <is>
          <t>3</t>
        </is>
      </c>
      <c r="E6" t="inlineStr">
        <is>
          <t>4</t>
        </is>
      </c>
      <c r="F6" t="inlineStr">
        <is>
          <t>Củ Chi, Hồ Chí Minh</t>
        </is>
      </c>
      <c r="G6" t="inlineStr">
        <is>
          <t>Cần bán nhà phố thiết kế tân cổ điển sang trọng, vị trí vàng ngay mặt tiền Tỉnh Lộ 8, xã Bình Mỹ, huyện Củ Chi. Trục đường huyết mạch kết nối TP. HCM - Bình Dương - Long An, cực kỳ thuận lợi để ở kết hợp mở văn phòng hoặc kinh doanh đa ngành nghề. DT 265.7m² có 190m² thổ cư. 1 trệt 2 lầu (3 tầng) kiên cố, thiết kế hiện đại, thông thoáng. 03 phòng ngủ rộng rãi. 04 nhà vệ sinh (WC riêng biệt từng tầng). 01 phòng bếp ấm cúng, trang thiết bị hiện đại...</t>
        </is>
      </c>
      <c r="H6" t="inlineStr">
        <is>
          <t>‎Anh Đức</t>
        </is>
      </c>
      <c r="I6" t="inlineStr">
        <is>
          <t>0931 110 *** · Hiện số</t>
        </is>
      </c>
      <c r="J6" t="inlineStr">
        <is>
          <t>[]</t>
        </is>
      </c>
      <c r="K6" t="n">
        <v>18300</v>
      </c>
      <c r="L6" t="n">
        <v>265.7</v>
      </c>
      <c r="M6" t="n">
        <v>68.87467068121943</v>
      </c>
      <c r="N6">
        <f>IMAGE("nan", 4, 200, 200)</f>
        <v/>
      </c>
      <c r="O6">
        <f>IMAGE("nan", 4, 200, 200)</f>
        <v/>
      </c>
      <c r="P6">
        <f>IMAGE("nan", 4, 200, 200)</f>
        <v/>
      </c>
      <c r="Q6">
        <f>IMAGE("nan", 4, 200, 200)</f>
        <v/>
      </c>
      <c r="R6">
        <f>IMAGE("nan", 4, 200, 200)</f>
        <v/>
      </c>
      <c r="S6" s="1" t="n">
        <v>46051</v>
      </c>
      <c r="T6" t="inlineStr">
        <is>
          <t>pr44887110</t>
        </is>
      </c>
    </row>
    <row r="7">
      <c r="A7" t="inlineStr">
        <is>
          <t>Giảm 400tr - sát Ung Văn Khiêm, D2 - đường 5m - 3 tầng (4.2x15m) 5P ngủ. Vị trí đẹp kinh doanh được</t>
        </is>
      </c>
      <c r="B7" t="inlineStr">
        <is>
          <t>https://batdongsan.com.vn/ban-nha-rieng-pho-nguyen-xi-phuong-26/vi-tri-dep-o-kinh-doanh-3tang-4-3-x-15-5p-ngu-duong-5m-thong-sat-ung-van-khiem-d2-pr44973672</t>
        </is>
      </c>
      <c r="C7" t="inlineStr">
        <is>
          <t>186,67 tr/m²</t>
        </is>
      </c>
      <c r="D7" t="inlineStr">
        <is>
          <t>4</t>
        </is>
      </c>
      <c r="E7" t="inlineStr">
        <is>
          <t>5</t>
        </is>
      </c>
      <c r="F7" t="inlineStr">
        <is>
          <t>Bình Thạnh, Hồ Chí Minh</t>
        </is>
      </c>
      <c r="G7" t="inlineStr">
        <is>
          <t>Gấp bán trước tết giảm 400tr. Sát Ung Văn Khiêm, P26, Bình Thạnh - vị trí đẹp hẻm thông, oto tránh - kinh doanh được. + DT: 60m² (4.2 x 15m) - 3 tầng (4P ngủ) có phòng thờ, sân thượng. + Giá còn 11,2 tỷ. - Phù hợp khách mua (ở + kinh doanh) cho thuê CHDV hoặc gia đình đông người. - Sổ vuông vức, hoàn công đủ, công chứng ngay. - LH e Sang đi xem nhà 0939 592 ***.</t>
        </is>
      </c>
      <c r="H7" t="inlineStr">
        <is>
          <t>‎Nguyễn Hoàng Sang</t>
        </is>
      </c>
      <c r="I7" t="inlineStr"/>
      <c r="J7" t="inlineStr">
        <is>
          <t>['https://file4.batdongsan.com.vn/resize/200x200/2025/10/20/20251020103937-a692.jpg']</t>
        </is>
      </c>
      <c r="K7" t="n">
        <v>11200</v>
      </c>
      <c r="L7" t="n">
        <v>60</v>
      </c>
      <c r="M7" t="n">
        <v>186.6666666666667</v>
      </c>
      <c r="N7">
        <f>IMAGE("https://file4.batdongsan.com.vn/resize/200x200/2025/10/20/20251020103937-a692.jpg", 4, 200, 200)</f>
        <v/>
      </c>
      <c r="O7">
        <f>IMAGE("nan", 4, 200, 200)</f>
        <v/>
      </c>
      <c r="P7">
        <f>IMAGE("nan", 4, 200, 200)</f>
        <v/>
      </c>
      <c r="Q7">
        <f>IMAGE("nan", 4, 200, 200)</f>
        <v/>
      </c>
      <c r="R7">
        <f>IMAGE("nan", 4, 200, 200)</f>
        <v/>
      </c>
      <c r="S7" s="1" t="n">
        <v>46051</v>
      </c>
      <c r="T7" t="inlineStr">
        <is>
          <t>pr44973672</t>
        </is>
      </c>
    </row>
    <row r="8">
      <c r="A8" t="inlineStr">
        <is>
          <t>Đầu tư đón đầu - Góc 2 MT - 10x16.5m - 5 tầng - Giá: 19,9 tỷ - Cách UBND TP Thủ Đức chỉ 10 phút</t>
        </is>
      </c>
      <c r="B8" t="inlineStr">
        <is>
          <t>https://batdongsan.com.vn/ban-nha-mat-pho-duong-dong-van-cong-phuong-cat-lai-prj-khu-do-thi-cat-lai/dau-tu-don-dau-goc-2-mt-10x16-5m-5-tang-gia-19-9-ty-cach-ubnd-tp-thu-duc-chi-10-phut-pr44708079</t>
        </is>
      </c>
      <c r="C8" t="inlineStr">
        <is>
          <t>125,16 tr/m²</t>
        </is>
      </c>
      <c r="D8" t="inlineStr">
        <is>
          <t>5</t>
        </is>
      </c>
      <c r="E8" t="inlineStr">
        <is>
          <t>4</t>
        </is>
      </c>
      <c r="F8" t="inlineStr">
        <is>
          <t>Quận 2, Hồ Chí Minh</t>
        </is>
      </c>
      <c r="G8" t="inlineStr">
        <is>
          <t>Nhà góc 2 mặt tiền - KDC Cát Lái, Tp Thủ Đức.- Diện tích lớn: 10x16,5m. Công nhận: 159m². - Kết cấu nhà mới: 5 tầng. - Nội thất full: Giường, tủ, bàn ghế, sofa, máy lạnh...- Ưu điểm: + Căn góc thoáng mát. + Gần trường THCS và Tiểu Học thuận tiện việc đưa đón con đi học. + Hạ tầng đang hoàn thiện, sắp đưa vào sử dụng như Vành Đai 3, Đường Liên Cảng giải quyết giao thông tại Cảng Cát Lái, giúp giảm tải lượng xe container vào đường Đồng Văn Cống và ...</t>
        </is>
      </c>
      <c r="H8" t="inlineStr"/>
      <c r="I8" t="inlineStr"/>
      <c r="J8" t="inlineStr">
        <is>
          <t>[]</t>
        </is>
      </c>
      <c r="K8" t="n">
        <v>19900</v>
      </c>
      <c r="L8" t="n">
        <v>159</v>
      </c>
      <c r="M8" t="n">
        <v>125.1572327044025</v>
      </c>
      <c r="N8">
        <f>IMAGE("nan", 4, 200, 200)</f>
        <v/>
      </c>
      <c r="O8">
        <f>IMAGE("nan", 4, 200, 200)</f>
        <v/>
      </c>
      <c r="P8">
        <f>IMAGE("nan", 4, 200, 200)</f>
        <v/>
      </c>
      <c r="Q8">
        <f>IMAGE("nan", 4, 200, 200)</f>
        <v/>
      </c>
      <c r="R8">
        <f>IMAGE("nan", 4, 200, 200)</f>
        <v/>
      </c>
      <c r="S8" s="1" t="n">
        <v>46051</v>
      </c>
      <c r="T8" t="inlineStr">
        <is>
          <t>pr44708079</t>
        </is>
      </c>
    </row>
    <row r="9">
      <c r="A9" t="inlineStr">
        <is>
          <t>Nhà 4 tầng nở hậu hẻm ô tô 5m Phạm Văn Chiêu, P. 14 Gò Vấp gần Emart Phan Huy Ích</t>
        </is>
      </c>
      <c r="B9" t="inlineStr">
        <is>
          <t>https://batdongsan.com.vn/ban-nha-rieng-duong-pham-van-chieu-phuong-14-8/-4-tang-no-hau-hem-o-to-5m-p-14-go-vap-gan-emart-phan-huy-ich-pr45109265</t>
        </is>
      </c>
      <c r="C9" t="inlineStr">
        <is>
          <t>173,75 tr/m²</t>
        </is>
      </c>
      <c r="D9" t="inlineStr">
        <is>
          <t>3</t>
        </is>
      </c>
      <c r="E9" t="inlineStr">
        <is>
          <t>4</t>
        </is>
      </c>
      <c r="F9" t="inlineStr">
        <is>
          <t>Gò Vấp, Hồ Chí Minh</t>
        </is>
      </c>
      <c r="G9" t="inlineStr">
        <is>
          <t>Nhà 4 tầng nở hậu hẻm ô tô 5m Phạm Văn Chiêu, P. 14 Gò Vấp. Gần Emart Phan Huy Ích kết nối Quang Trung. Giá 6.95 tỷ TL.1 trệt 3 lầu | 3 PN master | Full nội thất. Hẻm 5m ô tô đậu trước nhà | Khu dân trí cao. Nhà kiến trúc sư thiết kế, đẹp sắc sảo. Sổ hồng hoàn công đủ công chứng ngay.LH Mr Quân (Zalo): 0985 980 ***.</t>
        </is>
      </c>
      <c r="H9" t="inlineStr"/>
      <c r="I9" t="inlineStr"/>
      <c r="J9" t="inlineStr">
        <is>
          <t>[]</t>
        </is>
      </c>
      <c r="K9" t="n">
        <v>6950</v>
      </c>
      <c r="L9" t="n">
        <v>40</v>
      </c>
      <c r="M9" t="n">
        <v>173.75</v>
      </c>
      <c r="N9">
        <f>IMAGE("nan", 4, 200, 200)</f>
        <v/>
      </c>
      <c r="O9">
        <f>IMAGE("nan", 4, 200, 200)</f>
        <v/>
      </c>
      <c r="P9">
        <f>IMAGE("nan", 4, 200, 200)</f>
        <v/>
      </c>
      <c r="Q9">
        <f>IMAGE("nan", 4, 200, 200)</f>
        <v/>
      </c>
      <c r="R9">
        <f>IMAGE("nan", 4, 200, 200)</f>
        <v/>
      </c>
      <c r="S9" s="1" t="n">
        <v>46051</v>
      </c>
      <c r="T9" t="inlineStr">
        <is>
          <t>pr45109265</t>
        </is>
      </c>
    </row>
    <row r="10">
      <c r="A10" t="inlineStr">
        <is>
          <t>Chính chủ 30 năm bán nhà 2 tầng Lê Tự Tài, Phú Nhuận, HXH 16 chỗ, 46m2, cho thuê được 20tr/th</t>
        </is>
      </c>
      <c r="B10" t="inlineStr">
        <is>
          <t>https://batdongsan.com.vn/ban-nha-rieng-duong-le-tu-tai-phuong-4-19/chinh-chu-30-nam-ban-2-tang-phu-nhuan-hxh-16-cho-46m2-cho-thue-duoc-20tr-thang-pr44591704</t>
        </is>
      </c>
      <c r="C10" t="inlineStr">
        <is>
          <t>154,35 tr/m²</t>
        </is>
      </c>
      <c r="D10" t="inlineStr">
        <is>
          <t>2</t>
        </is>
      </c>
      <c r="E10" t="inlineStr">
        <is>
          <t>2</t>
        </is>
      </c>
      <c r="F10" t="inlineStr">
        <is>
          <t>Phú Nhuận, Hồ Chí Minh</t>
        </is>
      </c>
      <c r="G10" t="inlineStr">
        <is>
          <t>TỔNG GIẢM 900 TRIỆU CHỈ 7.1 TỶ TL - Chính chủ bán nhà trung tâm Phú Nhuận tặng 1 chỉ vàng SJC 999.9 cho khách hàng mua nhà sau khi mua bán công chứng hoàn tất.Thông tin nhà bán: - Giá bán: Tổng giảm 900 triệu - Chỉ 7.1 tỷ TL. - Vị trí: Lê Tự Tài - Phường Đức Nhuận (P. 4 cũ) - Phú Nhuận. - Diện tích: 3.6m x 16m vuông vức nở hậu, Công nhận 46m², DT sử dụng 88m². - Kết cấu: 1 trệt, 1 lầu, 2 phòng ngủ, 2 toilet, sân để xe, phòng khách, bếp, ban công ...</t>
        </is>
      </c>
      <c r="H10" t="inlineStr">
        <is>
          <t>‎Minh Cường</t>
        </is>
      </c>
      <c r="I10" t="inlineStr"/>
      <c r="J10" t="inlineStr">
        <is>
          <t>['https://file4.batdongsan.com.vn/resize/200x200/2025/11/19/20251119231317-4898.jpg']</t>
        </is>
      </c>
      <c r="K10" t="n">
        <v>7100</v>
      </c>
      <c r="L10" t="n">
        <v>46</v>
      </c>
      <c r="M10" t="n">
        <v>154.3478260869565</v>
      </c>
      <c r="N10">
        <f>IMAGE("https://file4.batdongsan.com.vn/resize/200x200/2025/11/19/20251119231317-4898.jpg", 4, 200, 200)</f>
        <v/>
      </c>
      <c r="O10">
        <f>IMAGE("nan", 4, 200, 200)</f>
        <v/>
      </c>
      <c r="P10">
        <f>IMAGE("nan", 4, 200, 200)</f>
        <v/>
      </c>
      <c r="Q10">
        <f>IMAGE("nan", 4, 200, 200)</f>
        <v/>
      </c>
      <c r="R10">
        <f>IMAGE("nan", 4, 200, 200)</f>
        <v/>
      </c>
      <c r="S10" s="1" t="n">
        <v>46051</v>
      </c>
      <c r="T10" t="inlineStr">
        <is>
          <t>pr44591704</t>
        </is>
      </c>
    </row>
    <row r="11">
      <c r="A11" t="inlineStr">
        <is>
          <t>Hẻm nhựa 10m nhà 5 tầng ngang 5m 6pn cạnh công viên chỉ 8,5 tỷ ngay chung cư Dreamhome Gò Vấp</t>
        </is>
      </c>
      <c r="B11" t="inlineStr">
        <is>
          <t>https://batdongsan.com.vn/ban-nha-rieng-duong-so-59/hem-nhua-10m-5-tang-ngang-5m-6pn-canh-cong-vien-chi-8-5-ty-ngay-chung-cu-dreamhome-go-vap-pr45102022</t>
        </is>
      </c>
      <c r="C11" t="inlineStr">
        <is>
          <t>170 tr/m²</t>
        </is>
      </c>
      <c r="D11" t="inlineStr">
        <is>
          <t>6</t>
        </is>
      </c>
      <c r="E11" t="inlineStr">
        <is>
          <t>5</t>
        </is>
      </c>
      <c r="F11" t="inlineStr">
        <is>
          <t>Gò Vấp, Hồ Chí Minh</t>
        </is>
      </c>
      <c r="G11" t="inlineStr">
        <is>
          <t>* Vị trí: Phường 14, Gò Vấp, ngay gần chung cư Dreamhome. Hẻm nhựa 10m, ô tô tránh đậu trước nhà 24/7 vị trí hiếm cạnh công viên mát mẻ quanh năm. Nhà cao tầng sẵn công năng mua là khai thác ngay, không cần sửa.* Thông tin chi tiết. Diện tích 50m² (5 x 10) vuông đẹp. Kết cấu 5 tầng: Trệt + Lửng + 3 Lầu + Sân thượng. 6 Phòng ngủ phòng khách &amp; bếp lớn. Có thể cải tạo thêm PN tầng trệt. Phù hợp: Ở Văn phòng công ty CHDV Văn phòng đại diện.* Ưu điểm ...</t>
        </is>
      </c>
      <c r="H11" t="inlineStr"/>
      <c r="I11" t="inlineStr"/>
      <c r="J11" t="inlineStr">
        <is>
          <t>[]</t>
        </is>
      </c>
      <c r="K11" t="n">
        <v>8500</v>
      </c>
      <c r="L11" t="n">
        <v>50</v>
      </c>
      <c r="M11" t="n">
        <v>170</v>
      </c>
      <c r="N11">
        <f>IMAGE("nan", 4, 200, 200)</f>
        <v/>
      </c>
      <c r="O11">
        <f>IMAGE("nan", 4, 200, 200)</f>
        <v/>
      </c>
      <c r="P11">
        <f>IMAGE("nan", 4, 200, 200)</f>
        <v/>
      </c>
      <c r="Q11">
        <f>IMAGE("nan", 4, 200, 200)</f>
        <v/>
      </c>
      <c r="R11">
        <f>IMAGE("nan", 4, 200, 200)</f>
        <v/>
      </c>
      <c r="S11" s="1" t="n">
        <v>46051</v>
      </c>
      <c r="T11" t="inlineStr">
        <is>
          <t>pr45102022</t>
        </is>
      </c>
    </row>
    <row r="12">
      <c r="A12" t="inlineStr">
        <is>
          <t>Nhà phố mặt tiền Trần Xuân Soạn Vị Trí đắc địa - Kinh doanh mua bán đông đúc - 3,2x20m Giá 8,3 tỷ</t>
        </is>
      </c>
      <c r="B12" t="inlineStr">
        <is>
          <t>https://batdongsan.com.vn/ban-nha-mat-pho-pho-tran-xuan-soan-phuong-tan-hung-14/-tien-vi-tri-dac-dia-kinh-doanh-mua-ban-dong-duc-3-2m-x-20m-gia-8-8-ty-pr44910264</t>
        </is>
      </c>
      <c r="C12" t="inlineStr">
        <is>
          <t>219 tr/m²</t>
        </is>
      </c>
      <c r="D12" t="inlineStr">
        <is>
          <t>3</t>
        </is>
      </c>
      <c r="E12" t="inlineStr">
        <is>
          <t>3</t>
        </is>
      </c>
      <c r="F12" t="inlineStr">
        <is>
          <t>Quận 7, Hồ Chí Minh</t>
        </is>
      </c>
      <c r="G12" t="inlineStr">
        <is>
          <t>Nhà Phố hiện đại, mặt tiền đường kinh doanh 15m Trần Xuân Soạn Phường Tân Hưng Quận 7, gần Cầu Nguyễn Khoái kết nối Q4 Q1, Lotte Mart, Đại Học Tôn Đức Thắng, RMIT bán kính chỉ 1km. - Diện tích: 3,2m x 20m công nhận đủ 37,9m². - Trệt lầu 03 phòng ngủ, 3WC, đúc kiên cố, chắc chắn. - Sân để xe, đường trước nhà thoáng mát.. - Khu vực kinh doanh mua bán sầm uất, đông dân cư, vị trí đắc địa tiện ở, cho thuê kinh doanh, mở văn phòng công ty đều được. - ...</t>
        </is>
      </c>
      <c r="H12" t="inlineStr">
        <is>
          <t>‎Nguyễn Chí Quang Huy</t>
        </is>
      </c>
      <c r="I12" t="inlineStr"/>
      <c r="J12" t="inlineStr">
        <is>
          <t>['https://file4.batdongsan.com.vn/resize/200x200/2025/12/12/20251212152104-848c.jpg']</t>
        </is>
      </c>
      <c r="K12" t="n">
        <v>8300</v>
      </c>
      <c r="L12" t="n">
        <v>37.9</v>
      </c>
      <c r="M12" t="n">
        <v>218.9973614775726</v>
      </c>
      <c r="N12">
        <f>IMAGE("https://file4.batdongsan.com.vn/resize/200x200/2025/12/12/20251212152104-848c.jpg", 4, 200, 200)</f>
        <v/>
      </c>
      <c r="O12">
        <f>IMAGE("nan", 4, 200, 200)</f>
        <v/>
      </c>
      <c r="P12">
        <f>IMAGE("nan", 4, 200, 200)</f>
        <v/>
      </c>
      <c r="Q12">
        <f>IMAGE("nan", 4, 200, 200)</f>
        <v/>
      </c>
      <c r="R12">
        <f>IMAGE("nan", 4, 200, 200)</f>
        <v/>
      </c>
      <c r="S12" s="1" t="n">
        <v>46051</v>
      </c>
      <c r="T12" t="inlineStr">
        <is>
          <t>pr44910264</t>
        </is>
      </c>
    </row>
    <row r="13">
      <c r="A13" t="inlineStr">
        <is>
          <t>Bán nhà trệt lửng ngay mặt tiền đường xe tải Quận 7 DT: 4,5m x 19,33m giá 8,5 tỷ thương lượng</t>
        </is>
      </c>
      <c r="B13" t="inlineStr">
        <is>
          <t>https://batdongsan.com.vn/ban-nha-rieng-duong-huynh-tan-phat-phuong-phu-thuan-3/ban-tret-lung-mat-tien-xe-tai-quan-7-dt-4-5m-x-19-33m-gia-8-5-ty-thuong-luong-pr45104897</t>
        </is>
      </c>
      <c r="C13" t="inlineStr">
        <is>
          <t>111,11 tr/m²</t>
        </is>
      </c>
      <c r="D13" t="inlineStr">
        <is>
          <t>2</t>
        </is>
      </c>
      <c r="E13" t="inlineStr">
        <is>
          <t>3</t>
        </is>
      </c>
      <c r="F13" t="inlineStr">
        <is>
          <t>Quận 7, Hồ Chí Minh</t>
        </is>
      </c>
      <c r="G13" t="inlineStr">
        <is>
          <t>Bán nhà trệt lửng mặt tiền đường xe tải Quận 7.Vị trí: Ngay MT đường 803 Huỳnh Tấn Phát, P. Phú Thuận, Quận 7. Diện tích: Thực tế sử dụng: 4,5m x 19,33m. Công nhận trên sổ: 76,5m² (4,5m x 17,33m).Đường trước nhà xe tải lưu thông thoải mái. Khu dân cư hiện hữu, hạ tầng hoàn chỉnh. Phù hợp xây nhà ở, văn phòng, kinh doanh hoặc đầu tư.Giá bán: 8,5 tỷ (còn thương lượng).</t>
        </is>
      </c>
      <c r="H13" t="inlineStr"/>
      <c r="I13" t="inlineStr"/>
      <c r="J13" t="inlineStr">
        <is>
          <t>[]</t>
        </is>
      </c>
      <c r="K13" t="n">
        <v>8500</v>
      </c>
      <c r="L13" t="n">
        <v>76.5</v>
      </c>
      <c r="M13" t="n">
        <v>111.1111111111111</v>
      </c>
      <c r="N13">
        <f>IMAGE("nan", 4, 200, 200)</f>
        <v/>
      </c>
      <c r="O13">
        <f>IMAGE("nan", 4, 200, 200)</f>
        <v/>
      </c>
      <c r="P13">
        <f>IMAGE("nan", 4, 200, 200)</f>
        <v/>
      </c>
      <c r="Q13">
        <f>IMAGE("nan", 4, 200, 200)</f>
        <v/>
      </c>
      <c r="R13">
        <f>IMAGE("nan", 4, 200, 200)</f>
        <v/>
      </c>
      <c r="S13" s="1" t="n">
        <v>46051</v>
      </c>
      <c r="T13" t="inlineStr">
        <is>
          <t>pr45104897</t>
        </is>
      </c>
    </row>
    <row r="14">
      <c r="A14" t="inlineStr">
        <is>
          <t>Nhà vừa ở vừa cho thuê, 2 mặt tiền rộng 16 mét, Ngô Chí Quốc, Thủ Đức, 215m2 sàn</t>
        </is>
      </c>
      <c r="B14" t="inlineStr">
        <is>
          <t>https://batdongsan.com.vn/ban-nha-mat-pho-duong-ngo-chi-quoc-phuong-tam-binh/-vua-o-vua-cho-thue-2-tien-rong-16-met-thu-duc-215m2-san-pr44730534</t>
        </is>
      </c>
      <c r="C14" t="inlineStr">
        <is>
          <t>110,98 tr/m²</t>
        </is>
      </c>
      <c r="D14" t="inlineStr">
        <is>
          <t>6</t>
        </is>
      </c>
      <c r="E14" t="inlineStr">
        <is>
          <t>3</t>
        </is>
      </c>
      <c r="F14" t="inlineStr">
        <is>
          <t>Thủ Đức, Hồ Chí Minh</t>
        </is>
      </c>
      <c r="G14" t="inlineStr">
        <is>
          <t>Có thể cho thuê 30 - 35tr/tháng để ở và cho thuê. + Nhà góc 2 mặt tiền Ngô Chí Quốc, Thủ Đức. + 1trệt + lửng + 3 lầu + sân thượng (tổng sàn sử dụng ~215 m²). + Đường hẻm và đường chính container vô ra thoả mái. + Đối diện công ty may Sài Gòn 3, trạm sạc Vinfast, chợ Đầu mối Nông sản Thủ Đức,... Kinh doanh làm nhà ở kết hợp với kinh doanh; cửa hàng kinh doanh ăn uống; cửa hàng vật liệu xây dựng; quá sá,... + Giá 9, x tỷ có thương lượng. + Chính ch...</t>
        </is>
      </c>
      <c r="H14" t="inlineStr"/>
      <c r="I14" t="inlineStr"/>
      <c r="J14" t="inlineStr">
        <is>
          <t>[]</t>
        </is>
      </c>
      <c r="K14" t="n">
        <v>9600</v>
      </c>
      <c r="L14" t="n">
        <v>86.5</v>
      </c>
      <c r="M14" t="n">
        <v>110.9826589595376</v>
      </c>
      <c r="N14">
        <f>IMAGE("nan", 4, 200, 200)</f>
        <v/>
      </c>
      <c r="O14">
        <f>IMAGE("nan", 4, 200, 200)</f>
        <v/>
      </c>
      <c r="P14">
        <f>IMAGE("nan", 4, 200, 200)</f>
        <v/>
      </c>
      <c r="Q14">
        <f>IMAGE("nan", 4, 200, 200)</f>
        <v/>
      </c>
      <c r="R14">
        <f>IMAGE("nan", 4, 200, 200)</f>
        <v/>
      </c>
      <c r="S14" s="1" t="n">
        <v>46051</v>
      </c>
      <c r="T14" t="inlineStr">
        <is>
          <t>pr44730534</t>
        </is>
      </c>
    </row>
    <row r="15">
      <c r="A15" t="inlineStr">
        <is>
          <t>7 tỷ - 154m² Bình Trưng, ngang 6.1m vuông vức hiếm có - nhà C4 sân rộng, 50m ra Nguyễn Tư Nghiêm</t>
        </is>
      </c>
      <c r="B15" t="inlineStr">
        <is>
          <t>https://batdongsan.com.vn/ban-nha-rieng-duong-nguyen-tu-nghiem-phuong-binh-trung-tay/7-ty-154m-ngang-6-1m-vuong-vuc-hiem-co-c4-san-rong-50m-ra-nghiem-pr45101997</t>
        </is>
      </c>
      <c r="C15" t="inlineStr">
        <is>
          <t>45,46 tr/m²</t>
        </is>
      </c>
      <c r="D15" t="inlineStr">
        <is>
          <t>2</t>
        </is>
      </c>
      <c r="E15" t="inlineStr">
        <is>
          <t>1</t>
        </is>
      </c>
      <c r="F15" t="inlineStr">
        <is>
          <t>Quận 2, Hồ Chí Minh</t>
        </is>
      </c>
      <c r="G15" t="inlineStr">
        <is>
          <t>Hàng hiếm Bình Trưng - diện tích lớn, ngang rộng 6.1m - giá chỉ 7 tỷ (TL).Địa chỉ: Nguyễn Tư Nghiêm, Bình Trưng, TP HCM. Giá bán: 7 tỷ (thương lượng chính chủ). Diện tích: 154m² - ngang 6.1m, dài 25m, đất vuông vức cực đẹp.Điểm mạnh ăn tiền (khách xem là thích). Diện tích lớn 154m² cực hiếm trong tầm giá 7 tỷ tại Bình Trưng. Ngang 6.1m: Form đất đẹp, dễ thiết kế gara/sân vườn/nhà rộng, tối ưu công năng. Nhà cấp 4 hiện hữu + sân rộng thoáng: Mua ở...</t>
        </is>
      </c>
      <c r="H15" t="inlineStr"/>
      <c r="I15" t="inlineStr"/>
      <c r="J15" t="inlineStr">
        <is>
          <t>[]</t>
        </is>
      </c>
      <c r="K15" t="n">
        <v>7000</v>
      </c>
      <c r="L15" t="n">
        <v>154</v>
      </c>
      <c r="M15" t="n">
        <v>45.45454545454545</v>
      </c>
      <c r="N15">
        <f>IMAGE("nan", 4, 200, 200)</f>
        <v/>
      </c>
      <c r="O15">
        <f>IMAGE("nan", 4, 200, 200)</f>
        <v/>
      </c>
      <c r="P15">
        <f>IMAGE("nan", 4, 200, 200)</f>
        <v/>
      </c>
      <c r="Q15">
        <f>IMAGE("nan", 4, 200, 200)</f>
        <v/>
      </c>
      <c r="R15">
        <f>IMAGE("nan", 4, 200, 200)</f>
        <v/>
      </c>
      <c r="S15" s="1" t="n">
        <v>46051</v>
      </c>
      <c r="T15" t="inlineStr">
        <is>
          <t>pr45101997</t>
        </is>
      </c>
    </row>
    <row r="16">
      <c r="A16" t="inlineStr">
        <is>
          <t>Mặt tiền kinh doanh đường 39, Bình Trưng - Ngang 7m hiếm - 242m² - Xây hầm + 5 tầng - 22 tỷ TL</t>
        </is>
      </c>
      <c r="B16" t="inlineStr">
        <is>
          <t>https://batdongsan.com.vn/ban-nha-mat-pho-duong-39-2-phuong-binh-trung-tay/-tien-kinh-doanh-39-ngang-7m-hiem-242m-xay-ham-5-tang-22-ty-tl-pr45015095</t>
        </is>
      </c>
      <c r="C16" t="inlineStr">
        <is>
          <t>90,91 tr/m²</t>
        </is>
      </c>
      <c r="D16" t="inlineStr"/>
      <c r="E16" t="inlineStr"/>
      <c r="F16" t="inlineStr">
        <is>
          <t>Quận 2, Hồ Chí Minh</t>
        </is>
      </c>
      <c r="G16" t="inlineStr">
        <is>
          <t>Đất mặt tiền Bình Trưng - thông số vàng 7x35 - phù hợp xây khai thác dòng tiền.Giá bán: 22 tỷ (TL). Địa chỉ: Đường 39, Bình Trưng, TP HCM.172m² thổ cư công nhận, diện tích lớn, vuông vức.Ngang 7m hiếm trong khu vực Bình Trưng.Được phép xây hầm + 5 tầng - tối ưu công suất khai thác.Khu dân cư hiện hữu, nhu cầu thuê ở - văn phòng - dịch vụ cao.Phù hợp nhà đầu tư giữ tiền, xây CHDV / văn phòng cho thuê hoặc doanh nghiệp cần mặt tiền lớn. Vị trí kết ...</t>
        </is>
      </c>
      <c r="H16" t="inlineStr"/>
      <c r="I16" t="inlineStr"/>
      <c r="J16" t="inlineStr">
        <is>
          <t>[]</t>
        </is>
      </c>
      <c r="K16" t="n">
        <v>22000</v>
      </c>
      <c r="L16" t="n">
        <v>242</v>
      </c>
      <c r="M16" t="n">
        <v>90.90909090909091</v>
      </c>
      <c r="N16">
        <f>IMAGE("nan", 4, 200, 200)</f>
        <v/>
      </c>
      <c r="O16">
        <f>IMAGE("nan", 4, 200, 200)</f>
        <v/>
      </c>
      <c r="P16">
        <f>IMAGE("nan", 4, 200, 200)</f>
        <v/>
      </c>
      <c r="Q16">
        <f>IMAGE("nan", 4, 200, 200)</f>
        <v/>
      </c>
      <c r="R16">
        <f>IMAGE("nan", 4, 200, 200)</f>
        <v/>
      </c>
      <c r="S16" s="1" t="n">
        <v>46051</v>
      </c>
      <c r="T16" t="inlineStr">
        <is>
          <t>pr45015095</t>
        </is>
      </c>
    </row>
    <row r="17">
      <c r="A17" t="inlineStr">
        <is>
          <t>Bán nhà mới hẻm 1025/9 Hậu Giang, 4.5x7m, 2 tấm, 3.5 tỷ</t>
        </is>
      </c>
      <c r="B17" t="inlineStr">
        <is>
          <t>https://batdongsan.com.vn/ban-nha-rieng-duong-hau-giang-phuong-11-3/ban-moi-hem-1025-9-4-5x7m-2-tam-3-5-ty-pr45006253</t>
        </is>
      </c>
      <c r="C17" t="inlineStr">
        <is>
          <t>107,69 tr/m²</t>
        </is>
      </c>
      <c r="D17" t="inlineStr">
        <is>
          <t>2</t>
        </is>
      </c>
      <c r="E17" t="inlineStr">
        <is>
          <t>2</t>
        </is>
      </c>
      <c r="F17" t="inlineStr">
        <is>
          <t>Quận 6, Hồ Chí Minh</t>
        </is>
      </c>
      <c r="G17" t="inlineStr">
        <is>
          <t>- Hẻm sạch sẽ, tuyến đường Hậu Giang đầy đủ tiện ích, giao thông thuận tiện và sinh hoạt.- Vị trí: Hẻm 1025 Hậu Giang, P. 11, Q. 6. - Diện tích: 4.5 x 7m. - Kết cấu: 1 lầu. - Giá: 3.5 tỷ (thương lượng). - Thông tin liên hệ: 0961 887 *** Hoang Phuc.</t>
        </is>
      </c>
      <c r="H17" t="inlineStr">
        <is>
          <t>‎Nguyễn Phạm Hoàng Phúc</t>
        </is>
      </c>
      <c r="I17" t="inlineStr"/>
      <c r="J17" t="inlineStr">
        <is>
          <t>['https://file4.batdongsan.com.vn/resize/200x200/2025/12/15/20251215204751-8f57.jpg']</t>
        </is>
      </c>
      <c r="K17" t="n">
        <v>3500</v>
      </c>
      <c r="L17" t="n">
        <v>32.5</v>
      </c>
      <c r="M17" t="n">
        <v>107.6923076923077</v>
      </c>
      <c r="N17">
        <f>IMAGE("https://file4.batdongsan.com.vn/resize/200x200/2025/12/15/20251215204751-8f57.jpg", 4, 200, 200)</f>
        <v/>
      </c>
      <c r="O17">
        <f>IMAGE("nan", 4, 200, 200)</f>
        <v/>
      </c>
      <c r="P17">
        <f>IMAGE("nan", 4, 200, 200)</f>
        <v/>
      </c>
      <c r="Q17">
        <f>IMAGE("nan", 4, 200, 200)</f>
        <v/>
      </c>
      <c r="R17">
        <f>IMAGE("nan", 4, 200, 200)</f>
        <v/>
      </c>
      <c r="S17" s="1" t="n">
        <v>46051</v>
      </c>
      <c r="T17" t="inlineStr">
        <is>
          <t>pr45006253</t>
        </is>
      </c>
    </row>
    <row r="18">
      <c r="A18" t="inlineStr">
        <is>
          <t>Giảm giá chỉ còn 16,9 tỷ cho căn biệt thự 150,8m2 ngay khu Sài Gòn Coop, chung cư Osimi</t>
        </is>
      </c>
      <c r="B18" t="inlineStr">
        <is>
          <t>https://batdongsan.com.vn/ban-nha-biet-thu-lien-ke-duong-le-duc-tho-phuong-15-6/can-ban-can-15-quan-go-vap-gan-sai-gon-coop-gia-15-5-ty-pr42423444</t>
        </is>
      </c>
      <c r="C18" t="inlineStr">
        <is>
          <t>112,07 tr/m²</t>
        </is>
      </c>
      <c r="D18" t="inlineStr">
        <is>
          <t>6</t>
        </is>
      </c>
      <c r="E18" t="inlineStr">
        <is>
          <t>4</t>
        </is>
      </c>
      <c r="F18" t="inlineStr">
        <is>
          <t>Gò Vấp, Hồ Chí Minh</t>
        </is>
      </c>
      <c r="G18" t="inlineStr">
        <is>
          <t>Cần bán căn biệt thự đường Lê Đức Thọ, Phường 15 quận Gò vấp TPHCM (KDC Sài Gòn Coop). - Diện tích đất công nhận 150,8m², diện tích thực tế sử dụng 215m², diện tích sàn 242m². Nhà 1 trệt, 2 lầu, sân thượng mái che, có 6PN, 4WC, sân vườn rộng thoáng. Sân đậu xe hơn thoải mái. - Cập bên hông trường Lê Đức Thọ, chung cư Osimi, Sài Gòn Coop. Khu biệt thự An Lộc. Tiện ích xung quanh đầy đủ: Gần trường, gần chợ, siêu thị, khu vui chơi, giải trí... - Xu...</t>
        </is>
      </c>
      <c r="H18" t="inlineStr">
        <is>
          <t>‎Nguyễn Thị Hồng Nga</t>
        </is>
      </c>
      <c r="I18" t="inlineStr"/>
      <c r="J18" t="inlineStr">
        <is>
          <t>['https://file4.batdongsan.com.vn/resize/200x200/2024/07/11/20240711162108-4a95.jpg']</t>
        </is>
      </c>
      <c r="K18" t="n">
        <v>16900</v>
      </c>
      <c r="L18" t="n">
        <v>150.8</v>
      </c>
      <c r="M18" t="n">
        <v>112.0689655172414</v>
      </c>
      <c r="N18">
        <f>IMAGE("https://file4.batdongsan.com.vn/resize/200x200/2024/07/11/20240711162108-4a95.jpg", 4, 200, 200)</f>
        <v/>
      </c>
      <c r="O18">
        <f>IMAGE("nan", 4, 200, 200)</f>
        <v/>
      </c>
      <c r="P18">
        <f>IMAGE("nan", 4, 200, 200)</f>
        <v/>
      </c>
      <c r="Q18">
        <f>IMAGE("nan", 4, 200, 200)</f>
        <v/>
      </c>
      <c r="R18">
        <f>IMAGE("nan", 4, 200, 200)</f>
        <v/>
      </c>
      <c r="S18" s="1" t="n">
        <v>46051</v>
      </c>
      <c r="T18" t="inlineStr">
        <is>
          <t>pr42423444</t>
        </is>
      </c>
    </row>
    <row r="19">
      <c r="A19" t="inlineStr">
        <is>
          <t>Căn nhà mẫu 164m2 (8x20,5m) khu Đô Thị Đông Tăng Long, Đ. Lã Xuân Oai đi vào, Q9 cũ Lh 0974 244 ***</t>
        </is>
      </c>
      <c r="B19" t="inlineStr">
        <is>
          <t>https://batdongsan.com.vn/ban-nha-biet-thu-lien-ke-duong-d12-phuong-truong-thanh-prj-khu-do-thi-moi-dong-tang-long/can-mau-164m2-8x20-5m-ng-d-la-xuan-oai-di-vao-q9-cu-lh-pr45099707</t>
        </is>
      </c>
      <c r="C19" t="inlineStr">
        <is>
          <t>85,37 tr/m²</t>
        </is>
      </c>
      <c r="D19" t="inlineStr"/>
      <c r="E19" t="inlineStr"/>
      <c r="F19" t="inlineStr">
        <is>
          <t>Quận 9, Hồ Chí Minh</t>
        </is>
      </c>
      <c r="G19" t="inlineStr">
        <is>
          <t>Nhanh tay sở hữu biệt thự 3 tầng tại Đông Tăng Long, Đường Nguyễn Duy Trinh, Phường Trường Thạnh, Quận 9, Hồ Chí Minh.- Diện tích 164m² (8x20,5m). - Giá bán 14 tỷ thương lượng. Lh 0974 244 *** - Hoàng Khúc. ------------------------------------------ - Thiết kế hiện đại với 3 tầng, không nội thất, dễ dàng tạo dấu ấn cá nhân. - Đường Vành Đai 3 hiện hữu đã hoàn thành. - Hướng ban công Đông Nam, đón gió mát và ánh sáng tự nhiên. - Mặt tiền rộng 8m, th...</t>
        </is>
      </c>
      <c r="H19" t="inlineStr">
        <is>
          <t>‎Hoang Khuc Huynh</t>
        </is>
      </c>
      <c r="I19" t="inlineStr"/>
      <c r="J19" t="inlineStr">
        <is>
          <t>['https://file4.batdongsan.com.vn/resize/200x200/2019/03/18/20190318115927-962b.jpg']</t>
        </is>
      </c>
      <c r="K19" t="n">
        <v>14000</v>
      </c>
      <c r="L19" t="n">
        <v>164</v>
      </c>
      <c r="M19" t="n">
        <v>85.36585365853658</v>
      </c>
      <c r="N19">
        <f>IMAGE("https://file4.batdongsan.com.vn/resize/200x200/2019/03/18/20190318115927-962b.jpg", 4, 200, 200)</f>
        <v/>
      </c>
      <c r="O19">
        <f>IMAGE("nan", 4, 200, 200)</f>
        <v/>
      </c>
      <c r="P19">
        <f>IMAGE("nan", 4, 200, 200)</f>
        <v/>
      </c>
      <c r="Q19">
        <f>IMAGE("nan", 4, 200, 200)</f>
        <v/>
      </c>
      <c r="R19">
        <f>IMAGE("nan", 4, 200, 200)</f>
        <v/>
      </c>
      <c r="S19" s="1" t="n">
        <v>46051</v>
      </c>
      <c r="T19" t="inlineStr">
        <is>
          <t>pr45099707</t>
        </is>
      </c>
    </row>
    <row r="20">
      <c r="A20" t="inlineStr">
        <is>
          <t>Giảm liên tục 18 lần bán gấp nhà mặt tiền khu VIP Lý Thường Kiệt giá rẻ hơn định giá ngân hàng</t>
        </is>
      </c>
      <c r="B20" t="inlineStr">
        <is>
          <t>https://batdongsan.com.vn/ban-nha-rieng-pho-ly-thuong-kiet-phuong-15-4/giam-lien-tuc-18-lan-ban-gap-mat-tien-khu-vip-kie-gia-re-hon-dinh-gia-ngan-hang-pr45099619</t>
        </is>
      </c>
      <c r="C20" t="inlineStr">
        <is>
          <t>146,43 tr/m²</t>
        </is>
      </c>
      <c r="D20" t="inlineStr">
        <is>
          <t>7</t>
        </is>
      </c>
      <c r="E20" t="inlineStr"/>
      <c r="F20" t="inlineStr">
        <is>
          <t>Quận 11, Hồ Chí Minh</t>
        </is>
      </c>
      <c r="G20" t="inlineStr">
        <is>
          <t>Hàng ngộp đỉnh điểm - nhà phố diện tích lớn, thích hợp xây biệt thự sân vườn hoặc căn hộ dịch vụ, quán cafe tại khu VIP Lý Thường Kiệt - giảm từ 55 tỷ còn 41 tỷ - bank định giá 50 tỷ.Vị trí vàng: Phố Lý Thường Kiệt, Phường 15, Quận 11. Vị trí "Siêu VIP": Đường nhựa 12m có vỉa hè rộng 3m, khu toàn đại gia và quan chức sinh sống, an ninh tuyệt đối.Thông số chuẩn:- Diện tích: 280m² (Ngang bề thế 6m nở hậu L 16m x Dài 30m).- Kết cấu: Nhà 2 tầng BTCT ...</t>
        </is>
      </c>
      <c r="H20" t="inlineStr">
        <is>
          <t>‎Trần Đức Anh</t>
        </is>
      </c>
      <c r="I20" t="inlineStr"/>
      <c r="J20" t="inlineStr">
        <is>
          <t>['https://file4.batdongsan.com.vn/crop/232x186/2026/01/26/20260126153834-6816_wm.jpg', 'https://file4.batdongsan.com.vn/crop/115x64/2026/01/26/20260126153838-214a_wm.jpg', 'https://file4.batdongsan.com.vn/crop/115x64/2026/01/26/20260126153948-f230_wm.jpg', 'https://file4.batdongsan.com.vn/resize/200x200/2025/10/27/20251027153416-f90c.jpg']</t>
        </is>
      </c>
      <c r="K20" t="n">
        <v>41000</v>
      </c>
      <c r="L20" t="n">
        <v>280</v>
      </c>
      <c r="M20" t="n">
        <v>146.4285714285714</v>
      </c>
      <c r="N20">
        <f>IMAGE("https://file4.batdongsan.com.vn/crop/232x186/2026/01/26/20260126153834-6816_wm.jpg", 4, 200, 200)</f>
        <v/>
      </c>
      <c r="O20">
        <f>IMAGE("https://file4.batdongsan.com.vn/crop/115x64/2026/01/26/20260126153838-214a_wm.jpg", 4, 200, 200)</f>
        <v/>
      </c>
      <c r="P20">
        <f>IMAGE("https://file4.batdongsan.com.vn/crop/115x64/2026/01/26/20260126153948-f230_wm.jpg", 4, 200, 200)</f>
        <v/>
      </c>
      <c r="Q20">
        <f>IMAGE("https://file4.batdongsan.com.vn/resize/200x200/2025/10/27/20251027153416-f90c.jpg", 4, 200, 200)</f>
        <v/>
      </c>
      <c r="R20">
        <f>IMAGE("nan", 4, 200, 200)</f>
        <v/>
      </c>
      <c r="S20" s="1" t="n">
        <v>46051</v>
      </c>
      <c r="T20" t="inlineStr">
        <is>
          <t>pr45099619</t>
        </is>
      </c>
    </row>
    <row r="21">
      <c r="A21" t="inlineStr">
        <is>
          <t>Bán nhà mặt phố đẹp 7 tầng có thang máy tại Lạc Long Quân, 13.6 tỷ, 75m2, Tân Bình, HCM</t>
        </is>
      </c>
      <c r="B21" t="inlineStr">
        <is>
          <t>https://batdongsan.com.vn/ban-nha-mat-pho-duong-lac-long-quan-phuong-8-14/ban-dep-7-tang-co-thang-may-tai-14-4-ty-76m2-tan-binh-hcm-pr42138166</t>
        </is>
      </c>
      <c r="C21" t="inlineStr">
        <is>
          <t>181,33 tr/m²</t>
        </is>
      </c>
      <c r="D21" t="inlineStr">
        <is>
          <t>11</t>
        </is>
      </c>
      <c r="E21" t="inlineStr">
        <is>
          <t>12</t>
        </is>
      </c>
      <c r="F21" t="inlineStr">
        <is>
          <t>Tân Bình, Hồ Chí Minh</t>
        </is>
      </c>
      <c r="G21" t="inlineStr">
        <is>
          <t>Nhà mặt phố tại Lạc Long Quân, Phường 8, Tân Bình, Hồ Chí Minh, có những đặc điểm nổi bật sau:- Diện tích 75m², phù hợp cho nhiều loại hình kinh doanh và sinh hoạt.- Thiết kế 7 tầng có thang máy với 11PN và 12WC, tạo không gian rộng rãi và tiện nghi cho thuê căn hộ dịch vụ.- Mỗi phòng đầy đủ tủ bếp trên dưới, tủ lạnh, máy lạnh. Ban công rộng đón ánh sáng tự nhiên và gió mát.- Mặt tiền lý tưởng cho các hoạt động kinh doanh.- Đường lớn, trục chính ...</t>
        </is>
      </c>
      <c r="H21" t="inlineStr"/>
      <c r="I21" t="inlineStr"/>
      <c r="J21" t="inlineStr">
        <is>
          <t>['https://file4.batdongsan.com.vn/crop/232x186/2025/02/11/20250211100440-6fef_wm.jpg', 'https://file4.batdongsan.com.vn/crop/115x64/2025/02/11/20250211100440-f6ad_wm.jpg', 'https://file4.batdongsan.com.vn/crop/115x64/2025/02/11/20250211100440-6df7_wm.jpg']</t>
        </is>
      </c>
      <c r="K21" t="n">
        <v>13600</v>
      </c>
      <c r="L21" t="n">
        <v>75</v>
      </c>
      <c r="M21" t="n">
        <v>181.3333333333333</v>
      </c>
      <c r="N21">
        <f>IMAGE("https://file4.batdongsan.com.vn/crop/232x186/2025/02/11/20250211100440-6fef_wm.jpg", 4, 200, 200)</f>
        <v/>
      </c>
      <c r="O21">
        <f>IMAGE("https://file4.batdongsan.com.vn/crop/115x64/2025/02/11/20250211100440-f6ad_wm.jpg", 4, 200, 200)</f>
        <v/>
      </c>
      <c r="P21">
        <f>IMAGE("https://file4.batdongsan.com.vn/crop/115x64/2025/02/11/20250211100440-6df7_wm.jpg", 4, 200, 200)</f>
        <v/>
      </c>
      <c r="Q21">
        <f>IMAGE("nan", 4, 200, 200)</f>
        <v/>
      </c>
      <c r="R21">
        <f>IMAGE("nan", 4, 200, 200)</f>
        <v/>
      </c>
      <c r="S21" s="1" t="n">
        <v>46051</v>
      </c>
      <c r="T21" t="inlineStr">
        <is>
          <t>pr42138166</t>
        </is>
      </c>
    </row>
    <row r="22">
      <c r="A22" t="inlineStr">
        <is>
          <t>Mở bán CSJ 2 Tower, Căn hộ biển chuẩn 5 sao, view ngay đường Thùy Vân gần tháp Tam Thắng Vũng Tàu</t>
        </is>
      </c>
      <c r="B22" t="inlineStr">
        <is>
          <t>https://batdongsan.com.vnhttps://batdongsan.com.vn/ban-condotel-duong-thuy-van-phuong-8-15-prj-csj-tower/nhan-booking-ngay-giai-doan-2-view-truc-dien-thap-tam-thang-vung-tau-pr45086843</t>
        </is>
      </c>
      <c r="C22" t="inlineStr"/>
      <c r="D22" t="inlineStr"/>
      <c r="E22" t="inlineStr"/>
      <c r="F22" t="inlineStr"/>
      <c r="G22" t="inlineStr">
        <is>
          <t>Vị trí góc 2 mặt tiền Thùy Vân, căn hộ biển số lượng ít, vận hành theo chuẩn khách sạn 5 sao, khai thác cho thuê quanh năm, pháp lý chuẩn</t>
        </is>
      </c>
      <c r="H22" t="inlineStr"/>
      <c r="I22" t="inlineStr"/>
      <c r="J22" t="inlineStr">
        <is>
          <t>['https://tpc.googlesyndication.com/pimgad/6389741102549493491?', 'https://staticfile.batdongsan.com.vn/images/Product/label_custom_qc_pixiu.svg']</t>
        </is>
      </c>
      <c r="K22" t="inlineStr"/>
      <c r="L22" t="inlineStr"/>
      <c r="M22" t="inlineStr"/>
      <c r="N22">
        <f>IMAGE("https://tpc.googlesyndication.com/pimgad/6389741102549493491?", 4, 200, 200)</f>
        <v/>
      </c>
      <c r="O22">
        <f>IMAGE("https://staticfile.batdongsan.com.vn/images/Product/label_custom_qc_pixiu.svg", 4, 200, 200)</f>
        <v/>
      </c>
      <c r="P22">
        <f>IMAGE("nan", 4, 200, 200)</f>
        <v/>
      </c>
      <c r="Q22">
        <f>IMAGE("nan", 4, 200, 200)</f>
        <v/>
      </c>
      <c r="R22">
        <f>IMAGE("nan", 4, 200, 200)</f>
        <v/>
      </c>
      <c r="S22" s="1" t="n">
        <v>46051</v>
      </c>
      <c r="T22" t="inlineStr">
        <is>
          <t>pr45086843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2026-01-29T09:47:44Z</dcterms:created>
  <dcterms:modified xsi:type="dcterms:W3CDTF">2026-01-29T09:47:44Z</dcterms:modified>
</cp:coreProperties>
</file>